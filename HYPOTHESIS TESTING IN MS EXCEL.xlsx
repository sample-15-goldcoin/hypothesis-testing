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a Ghosh\Documents\"/>
    </mc:Choice>
  </mc:AlternateContent>
  <xr:revisionPtr revIDLastSave="0" documentId="13_ncr:1_{2D363734-1CED-4AFB-8E0C-B3E81D03D893}" xr6:coauthVersionLast="45" xr6:coauthVersionMax="45" xr10:uidLastSave="{00000000-0000-0000-0000-000000000000}"/>
  <bookViews>
    <workbookView xWindow="-120" yWindow="-120" windowWidth="20730" windowHeight="11160" xr2:uid="{21F12319-4830-4E80-A5D7-C5288C3674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1" l="1"/>
  <c r="I17" i="1"/>
  <c r="G18" i="1"/>
  <c r="G17" i="1"/>
  <c r="F18" i="1"/>
  <c r="F17" i="1"/>
  <c r="E13" i="1"/>
  <c r="E12" i="1" l="1"/>
  <c r="E11" i="1"/>
  <c r="E6" i="1"/>
  <c r="E7" i="1"/>
  <c r="E8" i="1"/>
  <c r="E9" i="1"/>
  <c r="E10" i="1"/>
  <c r="E5" i="1"/>
</calcChain>
</file>

<file path=xl/sharedStrings.xml><?xml version="1.0" encoding="utf-8"?>
<sst xmlns="http://schemas.openxmlformats.org/spreadsheetml/2006/main" count="23" uniqueCount="19">
  <si>
    <t>7)The productivity of  6 employees was measured before and after a training program</t>
  </si>
  <si>
    <t>Employees</t>
  </si>
  <si>
    <t>Before</t>
  </si>
  <si>
    <t>After</t>
  </si>
  <si>
    <t>Difference of Productivity</t>
  </si>
  <si>
    <t>mean</t>
  </si>
  <si>
    <t>standard deviation</t>
  </si>
  <si>
    <t>T-test</t>
  </si>
  <si>
    <t>8)A company wants to test if product preference is independent of gender</t>
  </si>
  <si>
    <t>Gender</t>
  </si>
  <si>
    <t>male</t>
  </si>
  <si>
    <t>female</t>
  </si>
  <si>
    <t>Product A</t>
  </si>
  <si>
    <t>Total</t>
  </si>
  <si>
    <t>Product B</t>
  </si>
  <si>
    <t>Chi-square value</t>
  </si>
  <si>
    <t>Critical value</t>
  </si>
  <si>
    <t>Ans)male</t>
  </si>
  <si>
    <t>CONCLUSION:Product preference is not independent of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</si>
</sst>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</font>
    <font>
      <sz val="11"/>
      <color theme="1"/>
      <name val="Bahnschrift SemiBold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/>
    <xf numFmtId="0" fontId="2" fillId="0" borderId="0" xfId="0" applyFont="1" applyFill="1"/>
    <xf numFmtId="0" fontId="0" fillId="0" borderId="0" xfId="0" applyAlignment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8924-E43F-41AE-BA6A-51CACF9FA70D}">
  <dimension ref="A3:I23"/>
  <sheetViews>
    <sheetView tabSelected="1" topLeftCell="A13" workbookViewId="0">
      <selection activeCell="H18" sqref="H18"/>
    </sheetView>
  </sheetViews>
  <sheetFormatPr defaultRowHeight="15" x14ac:dyDescent="0.25"/>
  <cols>
    <col min="4" max="4" width="15" customWidth="1"/>
  </cols>
  <sheetData>
    <row r="3" spans="1:9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 ht="57.75" x14ac:dyDescent="0.25">
      <c r="A4" s="2" t="s">
        <v>1</v>
      </c>
      <c r="B4" s="3"/>
      <c r="C4" s="4" t="s">
        <v>2</v>
      </c>
      <c r="D4" s="1" t="s">
        <v>3</v>
      </c>
      <c r="E4" s="2" t="s">
        <v>4</v>
      </c>
      <c r="F4" s="1"/>
    </row>
    <row r="5" spans="1:9" x14ac:dyDescent="0.25">
      <c r="A5" s="1">
        <v>1</v>
      </c>
      <c r="B5" s="3"/>
      <c r="C5" s="1">
        <v>50</v>
      </c>
      <c r="D5" s="1">
        <v>55</v>
      </c>
      <c r="E5" s="1">
        <f>(D5-C5)</f>
        <v>5</v>
      </c>
      <c r="F5" s="1"/>
    </row>
    <row r="6" spans="1:9" x14ac:dyDescent="0.25">
      <c r="A6" s="1">
        <v>2</v>
      </c>
      <c r="B6" s="3"/>
      <c r="C6" s="1">
        <v>60</v>
      </c>
      <c r="D6" s="1">
        <v>65</v>
      </c>
      <c r="E6" s="1">
        <f t="shared" ref="E6:E10" si="0">(D6-C6)</f>
        <v>5</v>
      </c>
      <c r="F6" s="1"/>
    </row>
    <row r="7" spans="1:9" x14ac:dyDescent="0.25">
      <c r="A7" s="1">
        <v>3</v>
      </c>
      <c r="B7" s="3"/>
      <c r="C7" s="1">
        <v>58</v>
      </c>
      <c r="D7" s="1">
        <v>59</v>
      </c>
      <c r="E7" s="1">
        <f t="shared" si="0"/>
        <v>1</v>
      </c>
      <c r="F7" s="1"/>
    </row>
    <row r="8" spans="1:9" x14ac:dyDescent="0.25">
      <c r="A8" s="1">
        <v>4</v>
      </c>
      <c r="B8" s="3"/>
      <c r="C8" s="1">
        <v>55</v>
      </c>
      <c r="D8" s="1">
        <v>58</v>
      </c>
      <c r="E8" s="1">
        <f t="shared" si="0"/>
        <v>3</v>
      </c>
      <c r="F8" s="1"/>
    </row>
    <row r="9" spans="1:9" x14ac:dyDescent="0.25">
      <c r="A9" s="1">
        <v>5</v>
      </c>
      <c r="B9" s="3"/>
      <c r="C9" s="1">
        <v>62</v>
      </c>
      <c r="D9" s="1">
        <v>63</v>
      </c>
      <c r="E9" s="1">
        <f t="shared" si="0"/>
        <v>1</v>
      </c>
      <c r="F9" s="1"/>
    </row>
    <row r="10" spans="1:9" x14ac:dyDescent="0.25">
      <c r="A10" s="1">
        <v>6</v>
      </c>
      <c r="B10" s="3"/>
      <c r="C10" s="1">
        <v>56</v>
      </c>
      <c r="D10" s="1">
        <v>59</v>
      </c>
      <c r="E10" s="1">
        <f t="shared" si="0"/>
        <v>3</v>
      </c>
      <c r="F10" s="1"/>
    </row>
    <row r="11" spans="1:9" x14ac:dyDescent="0.25">
      <c r="A11" s="3"/>
      <c r="B11" s="3"/>
      <c r="C11" s="1"/>
      <c r="D11" s="1" t="s">
        <v>5</v>
      </c>
      <c r="E11" s="1">
        <f>AVERAGE(E5:E10)</f>
        <v>3</v>
      </c>
      <c r="F11" s="1"/>
    </row>
    <row r="12" spans="1:9" ht="57.75" x14ac:dyDescent="0.25">
      <c r="A12" s="3"/>
      <c r="B12" s="3"/>
      <c r="C12" s="1"/>
      <c r="D12" s="2" t="s">
        <v>6</v>
      </c>
      <c r="E12" s="1">
        <f>_xlfn.STDEV.S(E5:E10)</f>
        <v>1.7888543819998317</v>
      </c>
      <c r="F12" s="1"/>
    </row>
    <row r="13" spans="1:9" x14ac:dyDescent="0.25">
      <c r="A13" s="3"/>
      <c r="B13" s="3"/>
      <c r="C13" s="3"/>
      <c r="D13" s="3" t="s">
        <v>7</v>
      </c>
      <c r="E13" s="3">
        <f>3/(1.7889/SQRT(6))</f>
        <v>4.1078144269380816</v>
      </c>
      <c r="F13" s="3"/>
    </row>
    <row r="15" spans="1:9" x14ac:dyDescent="0.25">
      <c r="A15" s="1" t="s">
        <v>8</v>
      </c>
      <c r="B15" s="3"/>
      <c r="C15" s="3"/>
      <c r="D15" s="3"/>
      <c r="E15" s="3"/>
      <c r="F15" s="3"/>
      <c r="G15" s="3"/>
      <c r="H15" s="3"/>
    </row>
    <row r="16" spans="1:9" ht="45" x14ac:dyDescent="0.25">
      <c r="A16" s="1" t="s">
        <v>9</v>
      </c>
      <c r="B16" s="2" t="s">
        <v>12</v>
      </c>
      <c r="C16" s="2" t="s">
        <v>14</v>
      </c>
      <c r="D16" s="1" t="s">
        <v>13</v>
      </c>
      <c r="E16" s="3"/>
      <c r="F16" s="3" t="s">
        <v>12</v>
      </c>
      <c r="G16" s="3" t="s">
        <v>14</v>
      </c>
      <c r="H16" s="6" t="s">
        <v>15</v>
      </c>
      <c r="I16" s="3" t="s">
        <v>16</v>
      </c>
    </row>
    <row r="17" spans="1:9" x14ac:dyDescent="0.25">
      <c r="A17" s="1" t="s">
        <v>10</v>
      </c>
      <c r="B17" s="1">
        <v>30</v>
      </c>
      <c r="C17" s="1">
        <v>20</v>
      </c>
      <c r="D17" s="1">
        <v>50</v>
      </c>
      <c r="E17" s="3" t="s">
        <v>17</v>
      </c>
      <c r="F17" s="1">
        <f>($D17*B$19)/$D$19</f>
        <v>20</v>
      </c>
      <c r="G17" s="3">
        <f>($D17*C$19)/$D$19</f>
        <v>30</v>
      </c>
      <c r="H17" s="3">
        <f>((B17-F17)^2/F17)+((C17-G17)^2/G17)+((B18-F18)^2/F18)+((C18-G18)^2/G18)</f>
        <v>16.666666666666668</v>
      </c>
      <c r="I17">
        <f>_xlfn.CHISQ.INV.RT(0.05,1)</f>
        <v>3.8414588206941236</v>
      </c>
    </row>
    <row r="18" spans="1:9" x14ac:dyDescent="0.25">
      <c r="A18" s="1" t="s">
        <v>11</v>
      </c>
      <c r="B18" s="1">
        <v>10</v>
      </c>
      <c r="C18" s="1">
        <v>40</v>
      </c>
      <c r="D18" s="1">
        <v>50</v>
      </c>
      <c r="E18" s="3" t="s">
        <v>11</v>
      </c>
      <c r="F18" s="1">
        <f>($D18*B$19)/$D$19</f>
        <v>20</v>
      </c>
      <c r="G18" s="3">
        <f>($D18*C$19)/$D$19</f>
        <v>30</v>
      </c>
      <c r="H18" s="3"/>
    </row>
    <row r="19" spans="1:9" x14ac:dyDescent="0.25">
      <c r="A19" s="1" t="s">
        <v>13</v>
      </c>
      <c r="B19" s="1">
        <v>40</v>
      </c>
      <c r="C19" s="1">
        <v>60</v>
      </c>
      <c r="D19" s="1">
        <v>100</v>
      </c>
      <c r="E19" s="3"/>
      <c r="F19" s="3"/>
      <c r="G19" s="3"/>
      <c r="H19" s="3"/>
    </row>
    <row r="20" spans="1:9" x14ac:dyDescent="0.25">
      <c r="A20" s="3"/>
      <c r="B20" s="3"/>
      <c r="C20" s="3"/>
      <c r="D20" s="3"/>
      <c r="E20" s="3"/>
      <c r="F20" s="3"/>
      <c r="G20" s="3"/>
      <c r="H20" s="3"/>
    </row>
    <row r="21" spans="1:9" x14ac:dyDescent="0.25">
      <c r="A21" s="1"/>
    </row>
    <row r="22" spans="1:9" x14ac:dyDescent="0.25">
      <c r="A22" s="1"/>
    </row>
    <row r="23" spans="1:9" x14ac:dyDescent="0.25">
      <c r="A23" t="s">
        <v>18</v>
      </c>
      <c r="D2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Swata Ghosh</dc:creator>
  <cp:lastModifiedBy>Swata Ghosh</cp:lastModifiedBy>
  <dcterms:created xsi:type="dcterms:W3CDTF">2025-12-19T05:37:28Z</dcterms:created>
  <dcterms:modified xsi:type="dcterms:W3CDTF">2025-12-24T04:48:10Z</dcterms:modified>
</cp:coreProperties>
</file>